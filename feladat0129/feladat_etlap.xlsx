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eladat0129\"/>
    </mc:Choice>
  </mc:AlternateContent>
  <xr:revisionPtr revIDLastSave="0" documentId="13_ncr:1_{C514C750-0A00-4390-8757-CB4471B8753F}" xr6:coauthVersionLast="36" xr6:coauthVersionMax="36" xr10:uidLastSave="{00000000-0000-0000-0000-000000000000}"/>
  <bookViews>
    <workbookView xWindow="0" yWindow="0" windowWidth="21600" windowHeight="9525" xr2:uid="{20484812-F985-4686-8348-C9EA952932BB}"/>
  </bookViews>
  <sheets>
    <sheet name="Munka2" sheetId="2" r:id="rId1"/>
    <sheet name="Munka1" sheetId="1" r:id="rId2"/>
  </sheets>
  <definedNames>
    <definedName name="KülsőAdatok_1" localSheetId="0" hidden="1">Munka2!$A$1:$M$58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C02AAC-9ABA-4F53-BFA0-A9797DE43062}" keepAlive="1" name="Lekérdezés - etlapforras" description="A munkafüzetben levő „etlapforras” lekérdezés kapcsolata" type="5" refreshedVersion="6" background="1" saveData="1">
    <dbPr connection="Provider=Microsoft.Mashup.OleDb.1;Data Source=$Workbook$;Location=etlapforras;Extended Properties=&quot;&quot;" command="SELECT * FROM [etlapforras]"/>
  </connection>
</connections>
</file>

<file path=xl/sharedStrings.xml><?xml version="1.0" encoding="utf-8"?>
<sst xmlns="http://schemas.openxmlformats.org/spreadsheetml/2006/main" count="165" uniqueCount="95">
  <si>
    <t>ssz.</t>
  </si>
  <si>
    <t>megnevezés</t>
  </si>
  <si>
    <t>kcal</t>
  </si>
  <si>
    <t>szénhidrát</t>
  </si>
  <si>
    <t>ár</t>
  </si>
  <si>
    <t>akciós ár</t>
  </si>
  <si>
    <t>Column8</t>
  </si>
  <si>
    <t>Column9</t>
  </si>
  <si>
    <t>Column10</t>
  </si>
  <si>
    <t>Column11</t>
  </si>
  <si>
    <t>Column12</t>
  </si>
  <si>
    <t>Column13</t>
  </si>
  <si>
    <t>Levesek</t>
  </si>
  <si>
    <t>Almaleves</t>
  </si>
  <si>
    <t/>
  </si>
  <si>
    <t>Menük</t>
  </si>
  <si>
    <t>Fehérboros gombakrémleves</t>
  </si>
  <si>
    <t>Fokhagymakrémleves</t>
  </si>
  <si>
    <t>A menü</t>
  </si>
  <si>
    <t>Gyümölcsleves</t>
  </si>
  <si>
    <t>1</t>
  </si>
  <si>
    <t>Málnakrémleves</t>
  </si>
  <si>
    <t>22</t>
  </si>
  <si>
    <t>Paradicsomleves</t>
  </si>
  <si>
    <t>57</t>
  </si>
  <si>
    <t>Póréhagyma krémleves</t>
  </si>
  <si>
    <t>Szederkrémleves</t>
  </si>
  <si>
    <t>1 adag ára:</t>
  </si>
  <si>
    <t>1 adag kalóriatartalma</t>
  </si>
  <si>
    <t>Szilvaleves</t>
  </si>
  <si>
    <t>20 adag ára (10% kedvezménnyel)</t>
  </si>
  <si>
    <t>Tárkonyos csirkeraguleves</t>
  </si>
  <si>
    <t>Főzelékek</t>
  </si>
  <si>
    <t>Kapros tökfőzelék vagdalttal</t>
  </si>
  <si>
    <t>B menü</t>
  </si>
  <si>
    <t>Parajfőzelék vagdalttal</t>
  </si>
  <si>
    <t>10</t>
  </si>
  <si>
    <t>Rántott csirkemell meggymártással</t>
  </si>
  <si>
    <t>35</t>
  </si>
  <si>
    <t>Sóskafőzelék tükörtojással</t>
  </si>
  <si>
    <t>50</t>
  </si>
  <si>
    <t>Zöldbabfőzelék rántott csirkemellel</t>
  </si>
  <si>
    <t>Zöldborsófőzelék töltött csirkemellel</t>
  </si>
  <si>
    <t>Szárnyas ételek</t>
  </si>
  <si>
    <t>Cordon Bleu csirkemell spárgapürével</t>
  </si>
  <si>
    <t>Csirkepaprikás galuskával</t>
  </si>
  <si>
    <t>Fehérboros csirkemell paradicsomsalátával</t>
  </si>
  <si>
    <t>C menü</t>
  </si>
  <si>
    <t>Gombás-tejszínes pulykamellszelet galuskával</t>
  </si>
  <si>
    <t>3</t>
  </si>
  <si>
    <t>Joghurtos csirkecomb galuskával</t>
  </si>
  <si>
    <t>42</t>
  </si>
  <si>
    <t>Májjal töltött rántott pulykamell salátával</t>
  </si>
  <si>
    <t>52</t>
  </si>
  <si>
    <t>Mézes-mustáros csirkecomb párolt karfiollal</t>
  </si>
  <si>
    <t>Pirított pulykamell sopszka salátával</t>
  </si>
  <si>
    <t>Pulykaragu pitában zöldsalátával és joghurtos öntettel</t>
  </si>
  <si>
    <t>Rántott csirkemell franciasalátával</t>
  </si>
  <si>
    <t>Rántott csirkemell grillezett zöldségekkel</t>
  </si>
  <si>
    <t>Rántott sajt salátával</t>
  </si>
  <si>
    <t>A legnagyobb akciós ár:</t>
  </si>
  <si>
    <t>Sült csirkecomb tejszínes gombamártással</t>
  </si>
  <si>
    <t>Az étel neve:</t>
  </si>
  <si>
    <t>Sült csirkemell tojásos zöldsalátával</t>
  </si>
  <si>
    <t>Sült csirkemellcsíkok almás salátával</t>
  </si>
  <si>
    <t>Sült pulykacomb mozzarellás sült zöldségekkel</t>
  </si>
  <si>
    <t>Vadas pulykatokány spagettivel</t>
  </si>
  <si>
    <t>Vajban sült csirkemell paradicsomos gombasalátával</t>
  </si>
  <si>
    <t>Zöldséges ételek</t>
  </si>
  <si>
    <t>Csőben sült brokkoli sajttal</t>
  </si>
  <si>
    <t>Rakott karalábé (pulykacombból)</t>
  </si>
  <si>
    <t>Rakott sajtos patisszon</t>
  </si>
  <si>
    <t>Rántott cukkini almás sajtsalátával</t>
  </si>
  <si>
    <t>Székelykáposzta (pulykacombból)</t>
  </si>
  <si>
    <t>Tojásos lecsó virslivel és galuskával</t>
  </si>
  <si>
    <t>Töltött padlizsán tejfölös zöldmártással</t>
  </si>
  <si>
    <t>Tészták</t>
  </si>
  <si>
    <t>Csirkés pizza</t>
  </si>
  <si>
    <t>Juhtúrós sztrapacska</t>
  </si>
  <si>
    <t>Milánói spagetti</t>
  </si>
  <si>
    <t>Mustáros szűzpecsenye spagettivel</t>
  </si>
  <si>
    <t>Négysajtos pizza</t>
  </si>
  <si>
    <t>Sajtos-sonkás pizza</t>
  </si>
  <si>
    <t>Desszertek</t>
  </si>
  <si>
    <t>Almás-fahéjas palacsinta vaníliaöntettel</t>
  </si>
  <si>
    <t>Barackos lepény</t>
  </si>
  <si>
    <t>Császármorzsa</t>
  </si>
  <si>
    <t>Cseresznyés pite</t>
  </si>
  <si>
    <t>Máglyarakás</t>
  </si>
  <si>
    <t>Meggyes piskóta</t>
  </si>
  <si>
    <t>Somlói galuska</t>
  </si>
  <si>
    <t>Szilvás lepény</t>
  </si>
  <si>
    <t>Túrógombóc fahéjas öntettel</t>
  </si>
  <si>
    <t>Túrós palacsinta eperöntettel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</si>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</sst>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ál" xfId="0" builtinId="0"/>
  </cellStyles>
  <dxfs count="9">
    <dxf>
      <font>
        <b/>
        <i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9B846F15-41C3-4971-923C-E692D2EFEBCE}" autoFormatId="16" applyNumberFormats="0" applyBorderFormats="0" applyFontFormats="0" applyPatternFormats="0" applyAlignmentFormats="0" applyWidthHeightFormats="0">
  <queryTableRefresh nextId="14">
    <queryTableFields count="13">
      <queryTableField id="1" name="kategória" tableColumnId="1"/>
      <queryTableField id="2" name="ssz." tableColumnId="2"/>
      <queryTableField id="3" name="megnevezés" tableColumnId="3"/>
      <queryTableField id="4" name="kcal" tableColumnId="4"/>
      <queryTableField id="5" name="szénhidrát" tableColumnId="5"/>
      <queryTableField id="6" name="ár" tableColumnId="6"/>
      <queryTableField id="7" name="akciós ár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22B70-9D4B-4D59-938F-5A4A658D9B1D}" name="etlapforras" displayName="etlapforras" ref="A1:M58" tableType="queryTable" totalsRowShown="0">
  <autoFilter ref="A1:M58" xr:uid="{C40532F3-4601-4D2E-8435-D95AB86C3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3F8D44E-9510-46B0-A9C2-391695BC1816}" uniqueName="1" name="0" queryTableFieldId="1" dataDxfId="0"/>
    <tableColumn id="2" xr3:uid="{2633DB9D-8760-4B06-BB9A-380C190902F6}" uniqueName="2" name="ssz." queryTableFieldId="2"/>
    <tableColumn id="3" xr3:uid="{EFC9F7DF-8445-4BB2-8F0A-FFB0D53A50F0}" uniqueName="3" name="megnevezés" queryTableFieldId="3" dataDxfId="8"/>
    <tableColumn id="4" xr3:uid="{5BAD2079-E15B-4CCA-BCA3-83CFE41D7730}" uniqueName="4" name="kcal" queryTableFieldId="4"/>
    <tableColumn id="5" xr3:uid="{39284287-0B01-49E0-91A5-3542B7344CF3}" uniqueName="5" name="szénhidrát" queryTableFieldId="5"/>
    <tableColumn id="6" xr3:uid="{6EBC64A6-8303-4A0A-9E63-72BC8C5CA33D}" uniqueName="6" name="ár" queryTableFieldId="6"/>
    <tableColumn id="7" xr3:uid="{4573C1AF-0A93-4941-9EB5-3A2EE2D475E9}" uniqueName="7" name="akciós ár" queryTableFieldId="7" dataDxfId="7"/>
    <tableColumn id="8" xr3:uid="{2D335237-A5F3-42B0-AA7D-7F932319F885}" uniqueName="8" name="Column8" queryTableFieldId="8" dataDxfId="6"/>
    <tableColumn id="9" xr3:uid="{8C25CD62-F09F-48FC-9704-0DB25BF448D1}" uniqueName="9" name="Column9" queryTableFieldId="9" dataDxfId="5"/>
    <tableColumn id="10" xr3:uid="{5721E59D-96B5-4371-9E6A-5E7B32A58ACA}" uniqueName="10" name="Column10" queryTableFieldId="10" dataDxfId="4"/>
    <tableColumn id="11" xr3:uid="{C4D4E94C-6E5D-4BAF-95AD-40F235924213}" uniqueName="11" name="Column11" queryTableFieldId="11" dataDxfId="3"/>
    <tableColumn id="12" xr3:uid="{890AC510-CFA9-4CA9-A123-1AEEBC238943}" uniqueName="12" name="Column12" queryTableFieldId="12" dataDxfId="2"/>
    <tableColumn id="13" xr3:uid="{7E6110D8-EA99-4646-ACF1-3F0442D01056}" uniqueName="13" name="Column13" queryTableFieldId="1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9EAC-E55A-47F0-A3F7-1B2DC5B3E1F6}">
  <dimension ref="A1:M58"/>
  <sheetViews>
    <sheetView tabSelected="1" workbookViewId="0">
      <selection activeCell="J4" sqref="J4"/>
    </sheetView>
  </sheetViews>
  <sheetFormatPr defaultRowHeight="15" x14ac:dyDescent="0.25"/>
  <cols>
    <col min="1" max="1" width="16.140625" style="6" bestFit="1" customWidth="1"/>
    <col min="2" max="2" width="6.42578125" bestFit="1" customWidth="1"/>
    <col min="3" max="3" width="50" bestFit="1" customWidth="1"/>
    <col min="4" max="4" width="6.7109375" bestFit="1" customWidth="1"/>
    <col min="5" max="5" width="12.5703125" bestFit="1" customWidth="1"/>
    <col min="6" max="6" width="5" bestFit="1" customWidth="1"/>
    <col min="7" max="7" width="10.85546875" bestFit="1" customWidth="1"/>
    <col min="8" max="9" width="11.140625" bestFit="1" customWidth="1"/>
    <col min="10" max="10" width="31.42578125" bestFit="1" customWidth="1"/>
    <col min="11" max="12" width="12.140625" bestFit="1" customWidth="1"/>
    <col min="13" max="13" width="20.7109375" bestFit="1" customWidth="1"/>
  </cols>
  <sheetData>
    <row r="1" spans="1:13" x14ac:dyDescent="0.25">
      <c r="A1" s="5" t="s">
        <v>94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4" t="s">
        <v>12</v>
      </c>
      <c r="B2">
        <v>1</v>
      </c>
      <c r="C2" s="1" t="s">
        <v>13</v>
      </c>
      <c r="D2">
        <v>130</v>
      </c>
      <c r="E2">
        <v>9</v>
      </c>
      <c r="F2">
        <v>550</v>
      </c>
      <c r="G2" s="1">
        <f>etlapforras[ár]*0.8</f>
        <v>440</v>
      </c>
      <c r="H2" s="1">
        <f>ROUNDDOWN(etlapforras[akciós ár],-1)+9</f>
        <v>449</v>
      </c>
      <c r="I2" s="1" t="s">
        <v>15</v>
      </c>
      <c r="J2" s="1"/>
      <c r="K2" s="1"/>
      <c r="L2" s="1"/>
      <c r="M2" s="1"/>
    </row>
    <row r="3" spans="1:13" x14ac:dyDescent="0.25">
      <c r="A3" s="3" t="s">
        <v>14</v>
      </c>
      <c r="B3">
        <v>2</v>
      </c>
      <c r="C3" s="1" t="s">
        <v>16</v>
      </c>
      <c r="D3">
        <v>120</v>
      </c>
      <c r="E3">
        <v>4</v>
      </c>
      <c r="F3">
        <v>550</v>
      </c>
      <c r="G3" s="1">
        <f>etlapforras[ár]*0.8</f>
        <v>440</v>
      </c>
      <c r="H3" s="1">
        <f>ROUNDDOWN(etlapforras[akciós ár],-1)+9</f>
        <v>449</v>
      </c>
      <c r="I3" s="1"/>
      <c r="J3" s="1"/>
      <c r="K3" s="1"/>
      <c r="L3" s="1"/>
      <c r="M3" s="1"/>
    </row>
    <row r="4" spans="1:13" x14ac:dyDescent="0.25">
      <c r="A4" s="3" t="s">
        <v>14</v>
      </c>
      <c r="B4">
        <v>3</v>
      </c>
      <c r="C4" s="1" t="s">
        <v>17</v>
      </c>
      <c r="D4">
        <v>360</v>
      </c>
      <c r="E4">
        <v>8</v>
      </c>
      <c r="F4">
        <v>550</v>
      </c>
      <c r="G4" s="1">
        <f>etlapforras[ár]*0.8</f>
        <v>440</v>
      </c>
      <c r="H4" s="1">
        <f>ROUNDDOWN(etlapforras[akciós ár],-1)+9</f>
        <v>449</v>
      </c>
      <c r="I4" s="1" t="s">
        <v>18</v>
      </c>
      <c r="J4" s="1"/>
      <c r="K4" s="1"/>
      <c r="L4" s="1"/>
      <c r="M4" s="1"/>
    </row>
    <row r="5" spans="1:13" x14ac:dyDescent="0.25">
      <c r="A5" s="3" t="s">
        <v>14</v>
      </c>
      <c r="B5">
        <v>4</v>
      </c>
      <c r="C5" s="1" t="s">
        <v>19</v>
      </c>
      <c r="D5">
        <v>120</v>
      </c>
      <c r="E5">
        <v>14</v>
      </c>
      <c r="F5">
        <v>550</v>
      </c>
      <c r="G5" s="1">
        <f>etlapforras[ár]*0.8</f>
        <v>440</v>
      </c>
      <c r="H5" s="1">
        <f>ROUNDDOWN(etlapforras[akciós ár],-1)+9</f>
        <v>449</v>
      </c>
      <c r="I5" s="1" t="s">
        <v>20</v>
      </c>
      <c r="J5" s="1"/>
      <c r="K5" s="1"/>
      <c r="L5" s="1"/>
      <c r="M5" s="1"/>
    </row>
    <row r="6" spans="1:13" x14ac:dyDescent="0.25">
      <c r="A6" s="3" t="s">
        <v>14</v>
      </c>
      <c r="B6">
        <v>5</v>
      </c>
      <c r="C6" s="1" t="s">
        <v>21</v>
      </c>
      <c r="D6">
        <v>90</v>
      </c>
      <c r="E6">
        <v>6</v>
      </c>
      <c r="F6">
        <v>550</v>
      </c>
      <c r="G6" s="1">
        <f>etlapforras[ár]*0.8</f>
        <v>440</v>
      </c>
      <c r="H6" s="1">
        <f>ROUNDDOWN(etlapforras[akciós ár],-1)+9</f>
        <v>449</v>
      </c>
      <c r="I6" s="1" t="s">
        <v>22</v>
      </c>
      <c r="J6" s="1"/>
      <c r="K6" s="1"/>
      <c r="L6" s="1"/>
      <c r="M6" s="1"/>
    </row>
    <row r="7" spans="1:13" x14ac:dyDescent="0.25">
      <c r="A7" s="3" t="s">
        <v>14</v>
      </c>
      <c r="B7">
        <v>6</v>
      </c>
      <c r="C7" s="1" t="s">
        <v>23</v>
      </c>
      <c r="D7">
        <v>310</v>
      </c>
      <c r="E7">
        <v>9</v>
      </c>
      <c r="F7">
        <v>600</v>
      </c>
      <c r="G7" s="1">
        <f>etlapforras[ár]*0.8</f>
        <v>480</v>
      </c>
      <c r="H7" s="1">
        <f>ROUNDDOWN(etlapforras[akciós ár],-1)+9</f>
        <v>489</v>
      </c>
      <c r="I7" s="1" t="s">
        <v>24</v>
      </c>
      <c r="J7" s="1"/>
      <c r="K7" s="1"/>
      <c r="L7" s="1"/>
      <c r="M7" s="1"/>
    </row>
    <row r="8" spans="1:13" x14ac:dyDescent="0.25">
      <c r="A8" s="3" t="s">
        <v>14</v>
      </c>
      <c r="B8">
        <v>7</v>
      </c>
      <c r="C8" s="1" t="s">
        <v>25</v>
      </c>
      <c r="D8">
        <v>360</v>
      </c>
      <c r="E8">
        <v>8</v>
      </c>
      <c r="F8">
        <v>550</v>
      </c>
      <c r="G8" s="1">
        <f>etlapforras[ár]*0.8</f>
        <v>440</v>
      </c>
      <c r="H8" s="1">
        <f>ROUNDDOWN(etlapforras[akciós ár],-1)+9</f>
        <v>449</v>
      </c>
      <c r="I8" s="1"/>
      <c r="J8" s="1"/>
      <c r="K8" s="1"/>
      <c r="L8" s="1"/>
      <c r="M8" s="1"/>
    </row>
    <row r="9" spans="1:13" x14ac:dyDescent="0.25">
      <c r="A9" s="3" t="s">
        <v>14</v>
      </c>
      <c r="B9">
        <v>8</v>
      </c>
      <c r="C9" s="1" t="s">
        <v>26</v>
      </c>
      <c r="D9">
        <v>110</v>
      </c>
      <c r="E9">
        <v>5</v>
      </c>
      <c r="F9">
        <v>550</v>
      </c>
      <c r="G9" s="1">
        <f>etlapforras[ár]*0.8</f>
        <v>440</v>
      </c>
      <c r="H9" s="1">
        <f>ROUNDDOWN(etlapforras[akciós ár],-1)+9</f>
        <v>449</v>
      </c>
      <c r="I9" s="1" t="s">
        <v>14</v>
      </c>
      <c r="J9" s="1" t="s">
        <v>27</v>
      </c>
      <c r="K9" s="1" t="s">
        <v>14</v>
      </c>
      <c r="L9" s="1" t="s">
        <v>14</v>
      </c>
      <c r="M9" s="1" t="s">
        <v>28</v>
      </c>
    </row>
    <row r="10" spans="1:13" x14ac:dyDescent="0.25">
      <c r="A10" s="3" t="s">
        <v>14</v>
      </c>
      <c r="B10">
        <v>9</v>
      </c>
      <c r="C10" s="1" t="s">
        <v>29</v>
      </c>
      <c r="D10">
        <v>110</v>
      </c>
      <c r="E10">
        <v>12</v>
      </c>
      <c r="F10">
        <v>550</v>
      </c>
      <c r="G10" s="1">
        <f>etlapforras[ár]*0.8</f>
        <v>440</v>
      </c>
      <c r="H10" s="1">
        <f>ROUNDDOWN(etlapforras[akciós ár],-1)+9</f>
        <v>449</v>
      </c>
      <c r="I10" s="1" t="s">
        <v>14</v>
      </c>
      <c r="J10" s="1" t="s">
        <v>30</v>
      </c>
      <c r="K10" s="1"/>
      <c r="L10" s="1"/>
      <c r="M10" s="1"/>
    </row>
    <row r="11" spans="1:13" x14ac:dyDescent="0.25">
      <c r="A11" s="3" t="s">
        <v>14</v>
      </c>
      <c r="B11">
        <v>10</v>
      </c>
      <c r="C11" s="1" t="s">
        <v>31</v>
      </c>
      <c r="D11">
        <v>290</v>
      </c>
      <c r="E11">
        <v>9</v>
      </c>
      <c r="F11">
        <v>600</v>
      </c>
      <c r="G11" s="1">
        <f>etlapforras[ár]*0.8</f>
        <v>480</v>
      </c>
      <c r="H11" s="1">
        <f>ROUNDDOWN(etlapforras[akciós ár],-1)+9</f>
        <v>489</v>
      </c>
      <c r="I11" s="1"/>
      <c r="J11" s="1"/>
      <c r="K11" s="1"/>
      <c r="L11" s="1"/>
      <c r="M11" s="1"/>
    </row>
    <row r="12" spans="1:13" x14ac:dyDescent="0.25">
      <c r="A12" s="3" t="s">
        <v>32</v>
      </c>
      <c r="B12">
        <v>11</v>
      </c>
      <c r="C12" s="1" t="s">
        <v>33</v>
      </c>
      <c r="D12">
        <v>440</v>
      </c>
      <c r="E12">
        <v>23</v>
      </c>
      <c r="F12">
        <v>880</v>
      </c>
      <c r="G12" s="1">
        <f>etlapforras[ár]*0.8</f>
        <v>704</v>
      </c>
      <c r="H12" s="1">
        <f>ROUNDDOWN(etlapforras[akciós ár],-1)+9</f>
        <v>709</v>
      </c>
      <c r="I12" s="1" t="s">
        <v>34</v>
      </c>
      <c r="J12" s="1"/>
      <c r="K12" s="1"/>
      <c r="L12" s="1"/>
      <c r="M12" s="1"/>
    </row>
    <row r="13" spans="1:13" x14ac:dyDescent="0.25">
      <c r="A13" s="3" t="s">
        <v>14</v>
      </c>
      <c r="B13">
        <v>12</v>
      </c>
      <c r="C13" s="1" t="s">
        <v>35</v>
      </c>
      <c r="D13">
        <v>520</v>
      </c>
      <c r="E13">
        <v>7</v>
      </c>
      <c r="F13">
        <v>920</v>
      </c>
      <c r="G13" s="1">
        <f>etlapforras[ár]*0.8</f>
        <v>736</v>
      </c>
      <c r="H13" s="1">
        <f>ROUNDDOWN(etlapforras[akciós ár],-1)+9</f>
        <v>739</v>
      </c>
      <c r="I13" s="1" t="s">
        <v>36</v>
      </c>
      <c r="J13" s="1"/>
      <c r="K13" s="1"/>
      <c r="L13" s="1"/>
      <c r="M13" s="1"/>
    </row>
    <row r="14" spans="1:13" x14ac:dyDescent="0.25">
      <c r="A14" s="3" t="s">
        <v>14</v>
      </c>
      <c r="B14">
        <v>13</v>
      </c>
      <c r="C14" s="1" t="s">
        <v>37</v>
      </c>
      <c r="D14">
        <v>490</v>
      </c>
      <c r="E14">
        <v>13</v>
      </c>
      <c r="F14">
        <v>1040</v>
      </c>
      <c r="G14" s="1">
        <f>etlapforras[ár]*0.8</f>
        <v>832</v>
      </c>
      <c r="H14" s="1">
        <f>ROUNDDOWN(etlapforras[akciós ár],-1)+9</f>
        <v>839</v>
      </c>
      <c r="I14" s="1" t="s">
        <v>38</v>
      </c>
      <c r="J14" s="1"/>
      <c r="K14" s="1"/>
      <c r="L14" s="1"/>
      <c r="M14" s="1"/>
    </row>
    <row r="15" spans="1:13" x14ac:dyDescent="0.25">
      <c r="A15" s="3" t="s">
        <v>14</v>
      </c>
      <c r="B15">
        <v>14</v>
      </c>
      <c r="C15" s="1" t="s">
        <v>39</v>
      </c>
      <c r="D15">
        <v>290</v>
      </c>
      <c r="E15">
        <v>6</v>
      </c>
      <c r="F15">
        <v>840</v>
      </c>
      <c r="G15" s="1">
        <f>etlapforras[ár]*0.8</f>
        <v>672</v>
      </c>
      <c r="H15" s="1">
        <f>ROUNDDOWN(etlapforras[akciós ár],-1)+9</f>
        <v>679</v>
      </c>
      <c r="I15" s="1" t="s">
        <v>40</v>
      </c>
      <c r="J15" s="1"/>
      <c r="K15" s="1"/>
      <c r="L15" s="1"/>
      <c r="M15" s="1"/>
    </row>
    <row r="16" spans="1:13" x14ac:dyDescent="0.25">
      <c r="A16" s="3" t="s">
        <v>14</v>
      </c>
      <c r="B16">
        <v>15</v>
      </c>
      <c r="C16" s="1" t="s">
        <v>41</v>
      </c>
      <c r="D16">
        <v>670</v>
      </c>
      <c r="E16">
        <v>22</v>
      </c>
      <c r="F16">
        <v>970</v>
      </c>
      <c r="G16" s="1">
        <f>etlapforras[ár]*0.8</f>
        <v>776</v>
      </c>
      <c r="H16" s="1">
        <f>ROUNDDOWN(etlapforras[akciós ár],-1)+9</f>
        <v>779</v>
      </c>
      <c r="I16" s="1"/>
      <c r="J16" s="1"/>
      <c r="K16" s="1"/>
      <c r="L16" s="1"/>
      <c r="M16" s="1"/>
    </row>
    <row r="17" spans="1:13" x14ac:dyDescent="0.25">
      <c r="A17" s="3" t="s">
        <v>14</v>
      </c>
      <c r="B17">
        <v>16</v>
      </c>
      <c r="C17" s="1" t="s">
        <v>42</v>
      </c>
      <c r="D17">
        <v>720</v>
      </c>
      <c r="E17">
        <v>24</v>
      </c>
      <c r="F17">
        <v>920</v>
      </c>
      <c r="G17" s="1">
        <f>etlapforras[ár]*0.8</f>
        <v>736</v>
      </c>
      <c r="H17" s="1">
        <f>ROUNDDOWN(etlapforras[akciós ár],-1)+9</f>
        <v>739</v>
      </c>
      <c r="I17" s="1" t="s">
        <v>14</v>
      </c>
      <c r="J17" s="1" t="s">
        <v>27</v>
      </c>
      <c r="K17" s="1" t="s">
        <v>14</v>
      </c>
      <c r="L17" s="1" t="s">
        <v>14</v>
      </c>
      <c r="M17" s="1" t="s">
        <v>28</v>
      </c>
    </row>
    <row r="18" spans="1:13" x14ac:dyDescent="0.25">
      <c r="A18" s="3" t="s">
        <v>43</v>
      </c>
      <c r="B18">
        <v>17</v>
      </c>
      <c r="C18" s="1" t="s">
        <v>44</v>
      </c>
      <c r="D18">
        <v>700</v>
      </c>
      <c r="E18">
        <v>12</v>
      </c>
      <c r="F18">
        <v>1210</v>
      </c>
      <c r="G18" s="1">
        <f>etlapforras[ár]*0.8</f>
        <v>968</v>
      </c>
      <c r="H18" s="1">
        <f>ROUNDDOWN(etlapforras[akciós ár],-1)+9</f>
        <v>969</v>
      </c>
      <c r="I18" s="1" t="s">
        <v>14</v>
      </c>
      <c r="J18" s="1" t="s">
        <v>30</v>
      </c>
      <c r="K18" s="1"/>
      <c r="L18" s="1"/>
      <c r="M18" s="1"/>
    </row>
    <row r="19" spans="1:13" x14ac:dyDescent="0.25">
      <c r="A19" s="3" t="s">
        <v>14</v>
      </c>
      <c r="B19">
        <v>18</v>
      </c>
      <c r="C19" s="1" t="s">
        <v>45</v>
      </c>
      <c r="D19">
        <v>520</v>
      </c>
      <c r="E19">
        <v>8</v>
      </c>
      <c r="F19">
        <v>1210</v>
      </c>
      <c r="G19" s="1">
        <f>etlapforras[ár]*0.8</f>
        <v>968</v>
      </c>
      <c r="H19" s="1">
        <f>ROUNDDOWN(etlapforras[akciós ár],-1)+9</f>
        <v>969</v>
      </c>
      <c r="I19" s="1"/>
      <c r="J19" s="1"/>
      <c r="K19" s="1"/>
      <c r="L19" s="1"/>
      <c r="M19" s="1"/>
    </row>
    <row r="20" spans="1:13" x14ac:dyDescent="0.25">
      <c r="A20" s="3" t="s">
        <v>14</v>
      </c>
      <c r="B20">
        <v>19</v>
      </c>
      <c r="C20" s="1" t="s">
        <v>46</v>
      </c>
      <c r="D20">
        <v>410</v>
      </c>
      <c r="E20">
        <v>10</v>
      </c>
      <c r="F20">
        <v>1210</v>
      </c>
      <c r="G20" s="1">
        <f>etlapforras[ár]*0.8</f>
        <v>968</v>
      </c>
      <c r="H20" s="1">
        <f>ROUNDDOWN(etlapforras[akciós ár],-1)+9</f>
        <v>969</v>
      </c>
      <c r="I20" s="1" t="s">
        <v>47</v>
      </c>
      <c r="J20" s="1"/>
      <c r="K20" s="1"/>
      <c r="L20" s="1"/>
      <c r="M20" s="1"/>
    </row>
    <row r="21" spans="1:13" x14ac:dyDescent="0.25">
      <c r="A21" s="3" t="s">
        <v>14</v>
      </c>
      <c r="B21">
        <v>20</v>
      </c>
      <c r="C21" s="1" t="s">
        <v>48</v>
      </c>
      <c r="D21">
        <v>470</v>
      </c>
      <c r="E21">
        <v>17</v>
      </c>
      <c r="F21">
        <v>970</v>
      </c>
      <c r="G21" s="1">
        <f>etlapforras[ár]*0.8</f>
        <v>776</v>
      </c>
      <c r="H21" s="1">
        <f>ROUNDDOWN(etlapforras[akciós ár],-1)+9</f>
        <v>779</v>
      </c>
      <c r="I21" s="1" t="s">
        <v>49</v>
      </c>
      <c r="J21" s="1"/>
      <c r="K21" s="1"/>
      <c r="L21" s="1"/>
      <c r="M21" s="1"/>
    </row>
    <row r="22" spans="1:13" x14ac:dyDescent="0.25">
      <c r="A22" s="3" t="s">
        <v>14</v>
      </c>
      <c r="B22">
        <v>21</v>
      </c>
      <c r="C22" s="1" t="s">
        <v>50</v>
      </c>
      <c r="D22">
        <v>600</v>
      </c>
      <c r="E22">
        <v>9</v>
      </c>
      <c r="F22">
        <v>1040</v>
      </c>
      <c r="G22" s="1">
        <f>etlapforras[ár]*0.8</f>
        <v>832</v>
      </c>
      <c r="H22" s="1">
        <f>ROUNDDOWN(etlapforras[akciós ár],-1)+9</f>
        <v>839</v>
      </c>
      <c r="I22" s="1" t="s">
        <v>51</v>
      </c>
      <c r="J22" s="1"/>
      <c r="K22" s="1"/>
      <c r="L22" s="1"/>
      <c r="M22" s="1"/>
    </row>
    <row r="23" spans="1:13" x14ac:dyDescent="0.25">
      <c r="A23" s="3" t="s">
        <v>14</v>
      </c>
      <c r="B23">
        <v>22</v>
      </c>
      <c r="C23" s="1" t="s">
        <v>52</v>
      </c>
      <c r="D23">
        <v>490</v>
      </c>
      <c r="E23">
        <v>12</v>
      </c>
      <c r="F23">
        <v>1090</v>
      </c>
      <c r="G23" s="1">
        <f>etlapforras[ár]*0.8</f>
        <v>872</v>
      </c>
      <c r="H23" s="1">
        <f>ROUNDDOWN(etlapforras[akciós ár],-1)+9</f>
        <v>879</v>
      </c>
      <c r="I23" s="1" t="s">
        <v>53</v>
      </c>
      <c r="J23" s="1"/>
      <c r="K23" s="1"/>
      <c r="L23" s="1"/>
      <c r="M23" s="1"/>
    </row>
    <row r="24" spans="1:13" x14ac:dyDescent="0.25">
      <c r="A24" s="3" t="s">
        <v>14</v>
      </c>
      <c r="B24">
        <v>23</v>
      </c>
      <c r="C24" s="1" t="s">
        <v>54</v>
      </c>
      <c r="D24">
        <v>510</v>
      </c>
      <c r="E24">
        <v>13</v>
      </c>
      <c r="F24">
        <v>970</v>
      </c>
      <c r="G24" s="1">
        <f>etlapforras[ár]*0.8</f>
        <v>776</v>
      </c>
      <c r="H24" s="1">
        <f>ROUNDDOWN(etlapforras[akciós ár],-1)+9</f>
        <v>779</v>
      </c>
      <c r="I24" s="1"/>
      <c r="J24" s="1"/>
      <c r="K24" s="1"/>
      <c r="L24" s="1"/>
      <c r="M24" s="1"/>
    </row>
    <row r="25" spans="1:13" x14ac:dyDescent="0.25">
      <c r="A25" s="3" t="s">
        <v>14</v>
      </c>
      <c r="B25">
        <v>24</v>
      </c>
      <c r="C25" s="1" t="s">
        <v>55</v>
      </c>
      <c r="D25">
        <v>350</v>
      </c>
      <c r="E25">
        <v>9</v>
      </c>
      <c r="F25">
        <v>1210</v>
      </c>
      <c r="G25" s="1">
        <f>etlapforras[ár]*0.8</f>
        <v>968</v>
      </c>
      <c r="H25" s="1">
        <f>ROUNDDOWN(etlapforras[akciós ár],-1)+9</f>
        <v>969</v>
      </c>
      <c r="I25" s="1" t="s">
        <v>14</v>
      </c>
      <c r="J25" s="1" t="s">
        <v>27</v>
      </c>
      <c r="K25" s="1" t="s">
        <v>14</v>
      </c>
      <c r="L25" s="1" t="s">
        <v>14</v>
      </c>
      <c r="M25" s="1" t="s">
        <v>28</v>
      </c>
    </row>
    <row r="26" spans="1:13" x14ac:dyDescent="0.25">
      <c r="A26" s="3" t="s">
        <v>14</v>
      </c>
      <c r="B26">
        <v>25</v>
      </c>
      <c r="C26" s="1" t="s">
        <v>56</v>
      </c>
      <c r="D26">
        <v>380</v>
      </c>
      <c r="E26">
        <v>7</v>
      </c>
      <c r="F26">
        <v>980</v>
      </c>
      <c r="G26" s="1">
        <f>etlapforras[ár]*0.8</f>
        <v>784</v>
      </c>
      <c r="H26" s="1">
        <f>ROUNDDOWN(etlapforras[akciós ár],-1)+9</f>
        <v>789</v>
      </c>
      <c r="I26" s="1" t="s">
        <v>14</v>
      </c>
      <c r="J26" s="1" t="s">
        <v>30</v>
      </c>
      <c r="K26" s="1"/>
      <c r="L26" s="1"/>
      <c r="M26" s="1"/>
    </row>
    <row r="27" spans="1:13" x14ac:dyDescent="0.25">
      <c r="A27" s="3" t="s">
        <v>14</v>
      </c>
      <c r="B27">
        <v>26</v>
      </c>
      <c r="C27" s="1" t="s">
        <v>57</v>
      </c>
      <c r="D27">
        <v>570</v>
      </c>
      <c r="E27">
        <v>18</v>
      </c>
      <c r="F27">
        <v>1160</v>
      </c>
      <c r="G27" s="1">
        <f>etlapforras[ár]*0.8</f>
        <v>928</v>
      </c>
      <c r="H27" s="1">
        <f>ROUNDDOWN(etlapforras[akciós ár],-1)+9</f>
        <v>929</v>
      </c>
      <c r="I27" s="1"/>
      <c r="J27" s="1"/>
      <c r="K27" s="1"/>
      <c r="L27" s="1"/>
      <c r="M27" s="1"/>
    </row>
    <row r="28" spans="1:13" x14ac:dyDescent="0.25">
      <c r="A28" s="3" t="s">
        <v>14</v>
      </c>
      <c r="B28">
        <v>27</v>
      </c>
      <c r="C28" s="1" t="s">
        <v>58</v>
      </c>
      <c r="D28">
        <v>450</v>
      </c>
      <c r="E28">
        <v>15</v>
      </c>
      <c r="F28">
        <v>1090</v>
      </c>
      <c r="G28" s="1">
        <f>etlapforras[ár]*0.8</f>
        <v>872</v>
      </c>
      <c r="H28" s="1">
        <f>ROUNDDOWN(etlapforras[akciós ár],-1)+9</f>
        <v>879</v>
      </c>
      <c r="I28" s="1"/>
      <c r="J28" s="1"/>
      <c r="K28" s="1"/>
      <c r="L28" s="1"/>
      <c r="M28" s="1"/>
    </row>
    <row r="29" spans="1:13" x14ac:dyDescent="0.25">
      <c r="A29" s="3" t="s">
        <v>14</v>
      </c>
      <c r="B29">
        <v>28</v>
      </c>
      <c r="C29" s="1" t="s">
        <v>59</v>
      </c>
      <c r="D29">
        <v>570</v>
      </c>
      <c r="E29">
        <v>13</v>
      </c>
      <c r="F29">
        <v>1040</v>
      </c>
      <c r="G29" s="1">
        <f>etlapforras[ár]*0.8</f>
        <v>832</v>
      </c>
      <c r="H29" s="1">
        <f>ROUNDDOWN(etlapforras[akciós ár],-1)+9</f>
        <v>839</v>
      </c>
      <c r="I29" s="1" t="s">
        <v>14</v>
      </c>
      <c r="J29" s="1" t="s">
        <v>60</v>
      </c>
      <c r="K29" s="1"/>
      <c r="L29" s="1"/>
      <c r="M29" s="1"/>
    </row>
    <row r="30" spans="1:13" x14ac:dyDescent="0.25">
      <c r="A30" s="3" t="s">
        <v>14</v>
      </c>
      <c r="B30">
        <v>29</v>
      </c>
      <c r="C30" s="1" t="s">
        <v>61</v>
      </c>
      <c r="D30">
        <v>590</v>
      </c>
      <c r="E30">
        <v>5</v>
      </c>
      <c r="F30">
        <v>970</v>
      </c>
      <c r="G30" s="1">
        <f>etlapforras[ár]*0.8</f>
        <v>776</v>
      </c>
      <c r="H30" s="1">
        <f>ROUNDDOWN(etlapforras[akciós ár],-1)+9</f>
        <v>779</v>
      </c>
      <c r="I30" s="1" t="s">
        <v>14</v>
      </c>
      <c r="J30" s="1" t="s">
        <v>62</v>
      </c>
      <c r="K30" s="1"/>
      <c r="L30" s="1"/>
      <c r="M30" s="1"/>
    </row>
    <row r="31" spans="1:13" x14ac:dyDescent="0.25">
      <c r="A31" s="3" t="s">
        <v>14</v>
      </c>
      <c r="B31">
        <v>30</v>
      </c>
      <c r="C31" s="1" t="s">
        <v>63</v>
      </c>
      <c r="D31">
        <v>440</v>
      </c>
      <c r="E31">
        <v>5</v>
      </c>
      <c r="F31">
        <v>1080</v>
      </c>
      <c r="G31" s="1">
        <f>etlapforras[ár]*0.8</f>
        <v>864</v>
      </c>
      <c r="H31" s="1">
        <f>ROUNDDOWN(etlapforras[akciós ár],-1)+9</f>
        <v>869</v>
      </c>
      <c r="I31" s="1"/>
      <c r="J31" s="1"/>
      <c r="K31" s="1"/>
      <c r="L31" s="1"/>
      <c r="M31" s="1"/>
    </row>
    <row r="32" spans="1:13" x14ac:dyDescent="0.25">
      <c r="A32" s="3" t="s">
        <v>14</v>
      </c>
      <c r="B32">
        <v>31</v>
      </c>
      <c r="C32" s="1" t="s">
        <v>64</v>
      </c>
      <c r="D32">
        <v>470</v>
      </c>
      <c r="E32">
        <v>14</v>
      </c>
      <c r="F32">
        <v>1080</v>
      </c>
      <c r="G32" s="1">
        <f>etlapforras[ár]*0.8</f>
        <v>864</v>
      </c>
      <c r="H32" s="1">
        <f>ROUNDDOWN(etlapforras[akciós ár],-1)+9</f>
        <v>869</v>
      </c>
      <c r="I32" s="1"/>
      <c r="J32" s="1"/>
      <c r="K32" s="1"/>
      <c r="L32" s="1"/>
      <c r="M32" s="1"/>
    </row>
    <row r="33" spans="1:13" x14ac:dyDescent="0.25">
      <c r="A33" s="3" t="s">
        <v>14</v>
      </c>
      <c r="B33">
        <v>32</v>
      </c>
      <c r="C33" s="1" t="s">
        <v>65</v>
      </c>
      <c r="D33">
        <v>550</v>
      </c>
      <c r="E33">
        <v>18</v>
      </c>
      <c r="F33">
        <v>1160</v>
      </c>
      <c r="G33" s="1">
        <f>etlapforras[ár]*0.8</f>
        <v>928</v>
      </c>
      <c r="H33" s="1">
        <f>ROUNDDOWN(etlapforras[akciós ár],-1)+9</f>
        <v>929</v>
      </c>
      <c r="I33" s="1"/>
      <c r="J33" s="1"/>
      <c r="K33" s="1"/>
      <c r="L33" s="1"/>
      <c r="M33" s="1"/>
    </row>
    <row r="34" spans="1:13" x14ac:dyDescent="0.25">
      <c r="A34" s="3" t="s">
        <v>14</v>
      </c>
      <c r="B34">
        <v>33</v>
      </c>
      <c r="C34" s="1" t="s">
        <v>66</v>
      </c>
      <c r="D34">
        <v>500</v>
      </c>
      <c r="E34">
        <v>12</v>
      </c>
      <c r="F34">
        <v>1040</v>
      </c>
      <c r="G34" s="1">
        <f>etlapforras[ár]*0.8</f>
        <v>832</v>
      </c>
      <c r="H34" s="1">
        <f>ROUNDDOWN(etlapforras[akciós ár],-1)+9</f>
        <v>839</v>
      </c>
      <c r="I34" s="1"/>
      <c r="J34" s="1"/>
      <c r="K34" s="1"/>
      <c r="L34" s="1"/>
      <c r="M34" s="1"/>
    </row>
    <row r="35" spans="1:13" x14ac:dyDescent="0.25">
      <c r="A35" s="3" t="s">
        <v>14</v>
      </c>
      <c r="B35">
        <v>34</v>
      </c>
      <c r="C35" s="1" t="s">
        <v>67</v>
      </c>
      <c r="D35">
        <v>310</v>
      </c>
      <c r="E35">
        <v>9</v>
      </c>
      <c r="F35">
        <v>1210</v>
      </c>
      <c r="G35" s="1">
        <f>etlapforras[ár]*0.8</f>
        <v>968</v>
      </c>
      <c r="H35" s="1">
        <f>ROUNDDOWN(etlapforras[akciós ár],-1)+9</f>
        <v>969</v>
      </c>
      <c r="I35" s="1"/>
      <c r="J35" s="1"/>
      <c r="K35" s="1"/>
      <c r="L35" s="1"/>
      <c r="M35" s="1"/>
    </row>
    <row r="36" spans="1:13" x14ac:dyDescent="0.25">
      <c r="A36" s="3" t="s">
        <v>68</v>
      </c>
      <c r="B36">
        <v>35</v>
      </c>
      <c r="C36" s="1" t="s">
        <v>69</v>
      </c>
      <c r="D36">
        <v>340</v>
      </c>
      <c r="E36">
        <v>10</v>
      </c>
      <c r="F36">
        <v>1210</v>
      </c>
      <c r="G36" s="1">
        <f>etlapforras[ár]*0.8</f>
        <v>968</v>
      </c>
      <c r="H36" s="1">
        <f>ROUNDDOWN(etlapforras[akciós ár],-1)+9</f>
        <v>969</v>
      </c>
      <c r="I36" s="1"/>
      <c r="J36" s="1"/>
      <c r="K36" s="1"/>
      <c r="L36" s="1"/>
      <c r="M36" s="1"/>
    </row>
    <row r="37" spans="1:13" x14ac:dyDescent="0.25">
      <c r="A37" s="3" t="s">
        <v>14</v>
      </c>
      <c r="B37">
        <v>36</v>
      </c>
      <c r="C37" s="1" t="s">
        <v>70</v>
      </c>
      <c r="D37">
        <v>500</v>
      </c>
      <c r="E37">
        <v>25</v>
      </c>
      <c r="F37">
        <v>1040</v>
      </c>
      <c r="G37" s="1">
        <f>etlapforras[ár]*0.8</f>
        <v>832</v>
      </c>
      <c r="H37" s="1">
        <f>ROUNDDOWN(etlapforras[akciós ár],-1)+9</f>
        <v>839</v>
      </c>
      <c r="I37" s="1"/>
      <c r="J37" s="1"/>
      <c r="K37" s="1"/>
      <c r="L37" s="1"/>
      <c r="M37" s="1"/>
    </row>
    <row r="38" spans="1:13" x14ac:dyDescent="0.25">
      <c r="A38" s="3" t="s">
        <v>14</v>
      </c>
      <c r="B38">
        <v>37</v>
      </c>
      <c r="C38" s="1" t="s">
        <v>71</v>
      </c>
      <c r="D38">
        <v>590</v>
      </c>
      <c r="E38">
        <v>25</v>
      </c>
      <c r="F38">
        <v>1000</v>
      </c>
      <c r="G38" s="1">
        <f>etlapforras[ár]*0.8</f>
        <v>800</v>
      </c>
      <c r="H38" s="1">
        <f>ROUNDDOWN(etlapforras[akciós ár],-1)+9</f>
        <v>809</v>
      </c>
      <c r="I38" s="1"/>
      <c r="J38" s="1"/>
      <c r="K38" s="1"/>
      <c r="L38" s="1"/>
      <c r="M38" s="1"/>
    </row>
    <row r="39" spans="1:13" x14ac:dyDescent="0.25">
      <c r="A39" s="3" t="s">
        <v>14</v>
      </c>
      <c r="B39">
        <v>38</v>
      </c>
      <c r="C39" s="1" t="s">
        <v>72</v>
      </c>
      <c r="D39">
        <v>560</v>
      </c>
      <c r="E39">
        <v>30</v>
      </c>
      <c r="F39">
        <v>1000</v>
      </c>
      <c r="G39" s="1">
        <f>etlapforras[ár]*0.8</f>
        <v>800</v>
      </c>
      <c r="H39" s="1">
        <f>ROUNDDOWN(etlapforras[akciós ár],-1)+9</f>
        <v>809</v>
      </c>
      <c r="I39" s="1"/>
      <c r="J39" s="1"/>
      <c r="K39" s="1"/>
      <c r="L39" s="1"/>
      <c r="M39" s="1"/>
    </row>
    <row r="40" spans="1:13" x14ac:dyDescent="0.25">
      <c r="A40" s="3" t="s">
        <v>14</v>
      </c>
      <c r="B40">
        <v>39</v>
      </c>
      <c r="C40" s="1" t="s">
        <v>73</v>
      </c>
      <c r="D40">
        <v>390</v>
      </c>
      <c r="E40">
        <v>15</v>
      </c>
      <c r="F40">
        <v>1210</v>
      </c>
      <c r="G40" s="1">
        <f>etlapforras[ár]*0.8</f>
        <v>968</v>
      </c>
      <c r="H40" s="1">
        <f>ROUNDDOWN(etlapforras[akciós ár],-1)+9</f>
        <v>969</v>
      </c>
      <c r="I40" s="1"/>
      <c r="J40" s="1"/>
      <c r="K40" s="1"/>
      <c r="L40" s="1"/>
      <c r="M40" s="1"/>
    </row>
    <row r="41" spans="1:13" x14ac:dyDescent="0.25">
      <c r="A41" s="3" t="s">
        <v>14</v>
      </c>
      <c r="B41">
        <v>40</v>
      </c>
      <c r="C41" s="1" t="s">
        <v>74</v>
      </c>
      <c r="D41">
        <v>630</v>
      </c>
      <c r="E41">
        <v>8</v>
      </c>
      <c r="F41">
        <v>1000</v>
      </c>
      <c r="G41" s="1">
        <f>etlapforras[ár]*0.8</f>
        <v>800</v>
      </c>
      <c r="H41" s="1">
        <f>ROUNDDOWN(etlapforras[akciós ár],-1)+9</f>
        <v>809</v>
      </c>
      <c r="I41" s="1"/>
      <c r="J41" s="1"/>
      <c r="K41" s="1"/>
      <c r="L41" s="1"/>
      <c r="M41" s="1"/>
    </row>
    <row r="42" spans="1:13" x14ac:dyDescent="0.25">
      <c r="A42" s="3" t="s">
        <v>14</v>
      </c>
      <c r="B42">
        <v>41</v>
      </c>
      <c r="C42" s="1" t="s">
        <v>75</v>
      </c>
      <c r="D42">
        <v>470</v>
      </c>
      <c r="E42">
        <v>21</v>
      </c>
      <c r="F42">
        <v>1000</v>
      </c>
      <c r="G42" s="1">
        <f>etlapforras[ár]*0.8</f>
        <v>800</v>
      </c>
      <c r="H42" s="1">
        <f>ROUNDDOWN(etlapforras[akciós ár],-1)+9</f>
        <v>809</v>
      </c>
      <c r="I42" s="1"/>
      <c r="J42" s="1"/>
      <c r="K42" s="1"/>
      <c r="L42" s="1"/>
      <c r="M42" s="1"/>
    </row>
    <row r="43" spans="1:13" x14ac:dyDescent="0.25">
      <c r="A43" s="3" t="s">
        <v>76</v>
      </c>
      <c r="B43">
        <v>42</v>
      </c>
      <c r="C43" s="1" t="s">
        <v>77</v>
      </c>
      <c r="D43">
        <v>930</v>
      </c>
      <c r="E43">
        <v>14</v>
      </c>
      <c r="F43">
        <v>1470</v>
      </c>
      <c r="G43" s="1">
        <f>etlapforras[ár]*0.8</f>
        <v>1176</v>
      </c>
      <c r="H43" s="1">
        <f>ROUNDDOWN(etlapforras[akciós ár],-1)+9</f>
        <v>1179</v>
      </c>
      <c r="I43" s="1"/>
      <c r="J43" s="1"/>
      <c r="K43" s="1"/>
      <c r="L43" s="1"/>
      <c r="M43" s="1"/>
    </row>
    <row r="44" spans="1:13" x14ac:dyDescent="0.25">
      <c r="A44" s="3" t="s">
        <v>14</v>
      </c>
      <c r="B44">
        <v>43</v>
      </c>
      <c r="C44" s="1" t="s">
        <v>78</v>
      </c>
      <c r="D44">
        <v>790</v>
      </c>
      <c r="E44">
        <v>8</v>
      </c>
      <c r="F44">
        <v>1040</v>
      </c>
      <c r="G44" s="1">
        <f>etlapforras[ár]*0.8</f>
        <v>832</v>
      </c>
      <c r="H44" s="1">
        <f>ROUNDDOWN(etlapforras[akciós ár],-1)+9</f>
        <v>839</v>
      </c>
      <c r="I44" s="1"/>
      <c r="J44" s="1"/>
      <c r="K44" s="1"/>
      <c r="L44" s="1"/>
      <c r="M44" s="1"/>
    </row>
    <row r="45" spans="1:13" x14ac:dyDescent="0.25">
      <c r="A45" s="3" t="s">
        <v>14</v>
      </c>
      <c r="B45">
        <v>44</v>
      </c>
      <c r="C45" s="1" t="s">
        <v>79</v>
      </c>
      <c r="D45">
        <v>470</v>
      </c>
      <c r="E45">
        <v>14</v>
      </c>
      <c r="F45">
        <v>1090</v>
      </c>
      <c r="G45" s="1">
        <f>etlapforras[ár]*0.8</f>
        <v>872</v>
      </c>
      <c r="H45" s="1">
        <f>ROUNDDOWN(etlapforras[akciós ár],-1)+9</f>
        <v>879</v>
      </c>
      <c r="I45" s="1"/>
      <c r="J45" s="1"/>
      <c r="K45" s="1"/>
      <c r="L45" s="1"/>
      <c r="M45" s="1"/>
    </row>
    <row r="46" spans="1:13" x14ac:dyDescent="0.25">
      <c r="A46" s="3" t="s">
        <v>14</v>
      </c>
      <c r="B46">
        <v>45</v>
      </c>
      <c r="C46" s="1" t="s">
        <v>80</v>
      </c>
      <c r="D46">
        <v>470</v>
      </c>
      <c r="E46">
        <v>12</v>
      </c>
      <c r="F46">
        <v>1210</v>
      </c>
      <c r="G46" s="1">
        <f>etlapforras[ár]*0.8</f>
        <v>968</v>
      </c>
      <c r="H46" s="1">
        <f>ROUNDDOWN(etlapforras[akciós ár],-1)+9</f>
        <v>969</v>
      </c>
      <c r="I46" s="1"/>
      <c r="J46" s="1"/>
      <c r="K46" s="1"/>
      <c r="L46" s="1"/>
      <c r="M46" s="1"/>
    </row>
    <row r="47" spans="1:13" x14ac:dyDescent="0.25">
      <c r="A47" s="3" t="s">
        <v>14</v>
      </c>
      <c r="B47">
        <v>46</v>
      </c>
      <c r="C47" s="1" t="s">
        <v>81</v>
      </c>
      <c r="D47">
        <v>770</v>
      </c>
      <c r="E47">
        <v>11</v>
      </c>
      <c r="F47">
        <v>1210</v>
      </c>
      <c r="G47" s="1">
        <f>etlapforras[ár]*0.8</f>
        <v>968</v>
      </c>
      <c r="H47" s="1">
        <f>ROUNDDOWN(etlapforras[akciós ár],-1)+9</f>
        <v>969</v>
      </c>
      <c r="I47" s="1"/>
      <c r="J47" s="1"/>
      <c r="K47" s="1"/>
      <c r="L47" s="1"/>
      <c r="M47" s="1"/>
    </row>
    <row r="48" spans="1:13" x14ac:dyDescent="0.25">
      <c r="A48" s="3" t="s">
        <v>14</v>
      </c>
      <c r="B48">
        <v>47</v>
      </c>
      <c r="C48" s="1" t="s">
        <v>82</v>
      </c>
      <c r="D48">
        <v>780</v>
      </c>
      <c r="E48">
        <v>10</v>
      </c>
      <c r="F48">
        <v>1210</v>
      </c>
      <c r="G48" s="1">
        <f>etlapforras[ár]*0.8</f>
        <v>968</v>
      </c>
      <c r="H48" s="1">
        <f>ROUNDDOWN(etlapforras[akciós ár],-1)+9</f>
        <v>969</v>
      </c>
      <c r="I48" s="1"/>
      <c r="J48" s="1"/>
      <c r="K48" s="1"/>
      <c r="L48" s="1"/>
      <c r="M48" s="1"/>
    </row>
    <row r="49" spans="1:13" x14ac:dyDescent="0.25">
      <c r="A49" s="3" t="s">
        <v>83</v>
      </c>
      <c r="B49">
        <v>48</v>
      </c>
      <c r="C49" s="1" t="s">
        <v>84</v>
      </c>
      <c r="D49">
        <v>130</v>
      </c>
      <c r="E49">
        <v>9</v>
      </c>
      <c r="F49">
        <v>470</v>
      </c>
      <c r="G49" s="1">
        <f>etlapforras[ár]*0.8</f>
        <v>376</v>
      </c>
      <c r="H49" s="1">
        <f>ROUNDDOWN(etlapforras[akciós ár],-1)+9</f>
        <v>379</v>
      </c>
      <c r="I49" s="1"/>
      <c r="J49" s="1"/>
      <c r="K49" s="1"/>
      <c r="L49" s="1"/>
      <c r="M49" s="1"/>
    </row>
    <row r="50" spans="1:13" x14ac:dyDescent="0.25">
      <c r="A50" s="3" t="s">
        <v>14</v>
      </c>
      <c r="B50">
        <v>49</v>
      </c>
      <c r="C50" s="1" t="s">
        <v>85</v>
      </c>
      <c r="D50">
        <v>190</v>
      </c>
      <c r="E50">
        <v>6</v>
      </c>
      <c r="F50">
        <v>480</v>
      </c>
      <c r="G50" s="1">
        <f>etlapforras[ár]*0.8</f>
        <v>384</v>
      </c>
      <c r="H50" s="1">
        <f>ROUNDDOWN(etlapforras[akciós ár],-1)+9</f>
        <v>389</v>
      </c>
      <c r="I50" s="1"/>
      <c r="J50" s="1"/>
      <c r="K50" s="1"/>
      <c r="L50" s="1"/>
      <c r="M50" s="1"/>
    </row>
    <row r="51" spans="1:13" x14ac:dyDescent="0.25">
      <c r="A51" s="3" t="s">
        <v>14</v>
      </c>
      <c r="B51">
        <v>50</v>
      </c>
      <c r="C51" s="1" t="s">
        <v>86</v>
      </c>
      <c r="D51">
        <v>330</v>
      </c>
      <c r="E51">
        <v>14</v>
      </c>
      <c r="F51">
        <v>550</v>
      </c>
      <c r="G51" s="1">
        <f>etlapforras[ár]*0.8</f>
        <v>440</v>
      </c>
      <c r="H51" s="1">
        <f>ROUNDDOWN(etlapforras[akciós ár],-1)+9</f>
        <v>449</v>
      </c>
      <c r="I51" s="1"/>
      <c r="J51" s="1"/>
      <c r="K51" s="1"/>
      <c r="L51" s="1"/>
      <c r="M51" s="1"/>
    </row>
    <row r="52" spans="1:13" x14ac:dyDescent="0.25">
      <c r="A52" s="3" t="s">
        <v>14</v>
      </c>
      <c r="B52">
        <v>51</v>
      </c>
      <c r="C52" s="1" t="s">
        <v>87</v>
      </c>
      <c r="D52">
        <v>220</v>
      </c>
      <c r="E52">
        <v>10</v>
      </c>
      <c r="F52">
        <v>480</v>
      </c>
      <c r="G52" s="1">
        <f>etlapforras[ár]*0.8</f>
        <v>384</v>
      </c>
      <c r="H52" s="1">
        <f>ROUNDDOWN(etlapforras[akciós ár],-1)+9</f>
        <v>389</v>
      </c>
      <c r="I52" s="1"/>
      <c r="J52" s="1"/>
      <c r="K52" s="1"/>
      <c r="L52" s="1"/>
      <c r="M52" s="1"/>
    </row>
    <row r="53" spans="1:13" x14ac:dyDescent="0.25">
      <c r="A53" s="3" t="s">
        <v>14</v>
      </c>
      <c r="B53">
        <v>52</v>
      </c>
      <c r="C53" s="1" t="s">
        <v>88</v>
      </c>
      <c r="D53">
        <v>310</v>
      </c>
      <c r="E53">
        <v>11</v>
      </c>
      <c r="F53">
        <v>550</v>
      </c>
      <c r="G53" s="1">
        <f>etlapforras[ár]*0.8</f>
        <v>440</v>
      </c>
      <c r="H53" s="1">
        <f>ROUNDDOWN(etlapforras[akciós ár],-1)+9</f>
        <v>449</v>
      </c>
      <c r="I53" s="1"/>
      <c r="J53" s="1"/>
      <c r="K53" s="1"/>
      <c r="L53" s="1"/>
      <c r="M53" s="1"/>
    </row>
    <row r="54" spans="1:13" x14ac:dyDescent="0.25">
      <c r="A54" s="3" t="s">
        <v>14</v>
      </c>
      <c r="B54">
        <v>53</v>
      </c>
      <c r="C54" s="1" t="s">
        <v>89</v>
      </c>
      <c r="D54">
        <v>330</v>
      </c>
      <c r="E54">
        <v>18</v>
      </c>
      <c r="F54">
        <v>480</v>
      </c>
      <c r="G54" s="1">
        <f>etlapforras[ár]*0.8</f>
        <v>384</v>
      </c>
      <c r="H54" s="1">
        <f>ROUNDDOWN(etlapforras[akciós ár],-1)+9</f>
        <v>389</v>
      </c>
      <c r="I54" s="1"/>
      <c r="J54" s="1"/>
      <c r="K54" s="1"/>
      <c r="L54" s="1"/>
      <c r="M54" s="1"/>
    </row>
    <row r="55" spans="1:13" x14ac:dyDescent="0.25">
      <c r="A55" s="3" t="s">
        <v>14</v>
      </c>
      <c r="B55">
        <v>54</v>
      </c>
      <c r="C55" s="1" t="s">
        <v>90</v>
      </c>
      <c r="D55">
        <v>380</v>
      </c>
      <c r="E55">
        <v>9</v>
      </c>
      <c r="F55">
        <v>470</v>
      </c>
      <c r="G55" s="1">
        <f>etlapforras[ár]*0.8</f>
        <v>376</v>
      </c>
      <c r="H55" s="1">
        <f>ROUNDDOWN(etlapforras[akciós ár],-1)+9</f>
        <v>379</v>
      </c>
      <c r="I55" s="1"/>
      <c r="J55" s="1"/>
      <c r="K55" s="1"/>
      <c r="L55" s="1"/>
      <c r="M55" s="1"/>
    </row>
    <row r="56" spans="1:13" x14ac:dyDescent="0.25">
      <c r="A56" s="3" t="s">
        <v>14</v>
      </c>
      <c r="B56">
        <v>55</v>
      </c>
      <c r="C56" s="1" t="s">
        <v>91</v>
      </c>
      <c r="D56">
        <v>340</v>
      </c>
      <c r="E56">
        <v>20</v>
      </c>
      <c r="F56">
        <v>480</v>
      </c>
      <c r="G56" s="1">
        <f>etlapforras[ár]*0.8</f>
        <v>384</v>
      </c>
      <c r="H56" s="1">
        <f>ROUNDDOWN(etlapforras[akciós ár],-1)+9</f>
        <v>389</v>
      </c>
      <c r="I56" s="1"/>
      <c r="J56" s="1"/>
      <c r="K56" s="1"/>
      <c r="L56" s="1"/>
      <c r="M56" s="1"/>
    </row>
    <row r="57" spans="1:13" x14ac:dyDescent="0.25">
      <c r="A57" s="3" t="s">
        <v>14</v>
      </c>
      <c r="B57">
        <v>56</v>
      </c>
      <c r="C57" s="1" t="s">
        <v>92</v>
      </c>
      <c r="D57">
        <v>440</v>
      </c>
      <c r="E57">
        <v>11</v>
      </c>
      <c r="F57">
        <v>600</v>
      </c>
      <c r="G57" s="1">
        <f>etlapforras[ár]*0.8</f>
        <v>480</v>
      </c>
      <c r="H57" s="1">
        <f>ROUNDDOWN(etlapforras[akciós ár],-1)+9</f>
        <v>489</v>
      </c>
      <c r="I57" s="1"/>
      <c r="J57" s="1"/>
      <c r="K57" s="1"/>
      <c r="L57" s="1"/>
      <c r="M57" s="1"/>
    </row>
    <row r="58" spans="1:13" x14ac:dyDescent="0.25">
      <c r="A58" s="3" t="s">
        <v>14</v>
      </c>
      <c r="B58">
        <v>57</v>
      </c>
      <c r="C58" s="1" t="s">
        <v>93</v>
      </c>
      <c r="D58">
        <v>240</v>
      </c>
      <c r="E58">
        <v>9</v>
      </c>
      <c r="F58">
        <v>480</v>
      </c>
      <c r="G58" s="1">
        <f>etlapforras[ár]*0.8</f>
        <v>384</v>
      </c>
      <c r="H58" s="1">
        <f>ROUNDDOWN(etlapforras[akciós ár],-1)+9</f>
        <v>389</v>
      </c>
      <c r="I58" s="1"/>
      <c r="J58" s="1"/>
      <c r="K58" s="1"/>
      <c r="L58" s="1"/>
      <c r="M5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4E59-8D40-48BD-858D-87FE58EDA7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811C1-8DE8-4C4B-A394-CA7781896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Köteles Marcell</cp:lastModifiedBy>
  <dcterms:created xsi:type="dcterms:W3CDTF">2024-01-29T10:12:18Z</dcterms:created>
  <dcterms:modified xsi:type="dcterms:W3CDTF">2024-01-29T13:20:09Z</dcterms:modified>
</cp:coreProperties>
</file>